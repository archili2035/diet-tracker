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基本信息" sheetId="1" state="visible" r:id="rId1"/>
    <sheet name="每日记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减肥目标基本信息</t>
        </is>
      </c>
    </row>
    <row r="3">
      <c r="A3" t="inlineStr">
        <is>
          <t>当前体重(kg)</t>
        </is>
      </c>
      <c r="B3" t="n">
        <v>70.2</v>
      </c>
    </row>
    <row r="4">
      <c r="A4" t="inlineStr">
        <is>
          <t>目标体重(kg)</t>
        </is>
      </c>
      <c r="B4" t="n">
        <v>68</v>
      </c>
    </row>
    <row r="5">
      <c r="A5" t="inlineStr">
        <is>
          <t>身高(cm)</t>
        </is>
      </c>
      <c r="B5" t="n">
        <v>173</v>
      </c>
    </row>
    <row r="6">
      <c r="A6" t="inlineStr">
        <is>
          <t>目标BMI(参考)</t>
        </is>
      </c>
      <c r="B6" t="n">
        <v>22.7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8" customWidth="1" min="4" max="4"/>
    <col width="15" customWidth="1" min="5" max="5"/>
    <col width="10" customWidth="1" min="6" max="6"/>
    <col width="15" customWidth="1" min="7" max="7"/>
    <col width="10" customWidth="1" min="8" max="8"/>
    <col width="15" customWidth="1" min="9" max="9"/>
    <col width="10" customWidth="1" min="10" max="10"/>
    <col width="12" customWidth="1" min="11" max="11"/>
    <col width="12" customWidth="1" min="12" max="12"/>
    <col width="10" customWidth="1" min="13" max="13"/>
    <col width="10" customWidth="1" min="14" max="14"/>
    <col width="12" customWidth="1" min="15" max="15"/>
    <col width="14" customWidth="1" min="16" max="16"/>
    <col width="10" customWidth="1" min="17" max="17"/>
    <col width="10" customWidth="1" min="18" max="18"/>
    <col width="15" customWidth="1" min="19" max="19"/>
  </cols>
  <sheetData>
    <row r="1">
      <c r="A1" s="2" t="inlineStr">
        <is>
          <t>日期</t>
        </is>
      </c>
      <c r="B1" s="2" t="inlineStr">
        <is>
          <t>体重(kg)</t>
        </is>
      </c>
      <c r="C1" s="2" t="inlineStr">
        <is>
          <t>身高(cm)</t>
        </is>
      </c>
      <c r="D1" s="2" t="inlineStr">
        <is>
          <t>BMI</t>
        </is>
      </c>
      <c r="E1" s="2" t="inlineStr">
        <is>
          <t>午餐内容</t>
        </is>
      </c>
      <c r="F1" s="2" t="inlineStr">
        <is>
          <t>午餐热量</t>
        </is>
      </c>
      <c r="G1" s="2" t="inlineStr">
        <is>
          <t>晚餐内容</t>
        </is>
      </c>
      <c r="H1" s="2" t="inlineStr">
        <is>
          <t>晚餐热量</t>
        </is>
      </c>
      <c r="I1" s="2" t="inlineStr">
        <is>
          <t>零食内容</t>
        </is>
      </c>
      <c r="J1" s="2" t="inlineStr">
        <is>
          <t>零食热量</t>
        </is>
      </c>
      <c r="K1" s="2" t="inlineStr">
        <is>
          <t>总摄入热量</t>
        </is>
      </c>
      <c r="L1" s="2" t="inlineStr">
        <is>
          <t>运动项目</t>
        </is>
      </c>
      <c r="M1" s="2" t="inlineStr">
        <is>
          <t>时长(分钟)</t>
        </is>
      </c>
      <c r="N1" s="2" t="inlineStr">
        <is>
          <t>消耗热量</t>
        </is>
      </c>
      <c r="O1" s="2" t="inlineStr">
        <is>
          <t>净摄入热量</t>
        </is>
      </c>
      <c r="P1" s="2" t="inlineStr">
        <is>
          <t>目标净摄入热量</t>
        </is>
      </c>
      <c r="Q1" s="2" t="inlineStr">
        <is>
          <t>饮水量(ml)</t>
        </is>
      </c>
      <c r="R1" s="2" t="inlineStr">
        <is>
          <t>睡眠(小时)</t>
        </is>
      </c>
      <c r="S1" s="2" t="inlineStr">
        <is>
          <t>备注</t>
        </is>
      </c>
    </row>
    <row r="2">
      <c r="A2" t="inlineStr">
        <is>
          <t>2026-03-11</t>
        </is>
      </c>
      <c r="C2" t="n">
        <v>173</v>
      </c>
      <c r="D2">
        <f>IF(B2,"",B2/((C2/100)^2))</f>
        <v/>
      </c>
      <c r="E2" t="inlineStr">
        <is>
          <t>热米皮1份+肉夹馍1个+可乐150ml</t>
        </is>
      </c>
      <c r="F2" t="n">
        <v>820</v>
      </c>
      <c r="G2" t="inlineStr">
        <is>
          <t>麦辣鸡翅2份+中薯条1份+可乐1/3杯</t>
        </is>
      </c>
      <c r="H2" t="n">
        <v>790</v>
      </c>
      <c r="J2" t="n">
        <v>0</v>
      </c>
      <c r="K2">
        <f>F2+H2+J2</f>
        <v/>
      </c>
      <c r="L2" t="inlineStr">
        <is>
          <t>室内单车</t>
        </is>
      </c>
      <c r="M2" t="n">
        <v>40</v>
      </c>
      <c r="N2" t="n">
        <v>327</v>
      </c>
      <c r="O2">
        <f>K2-IF(N2,N2,0)</f>
        <v/>
      </c>
      <c r="P2" t="n">
        <v>1500</v>
      </c>
    </row>
    <row r="3">
      <c r="A3" t="inlineStr">
        <is>
          <t>2026-03-12</t>
        </is>
      </c>
      <c r="B3" t="n">
        <v>70.2</v>
      </c>
      <c r="C3" t="n">
        <v>173</v>
      </c>
      <c r="D3">
        <f>B3/((C3/100)^2)</f>
        <v/>
      </c>
      <c r="E3" t="inlineStr">
        <is>
          <t>赛百味6英寸牛肉三明治</t>
        </is>
      </c>
      <c r="F3" t="n">
        <v>290</v>
      </c>
      <c r="G3" t="inlineStr">
        <is>
          <t>麦辣鸡翅2份+中薯条1份+中杯可乐</t>
        </is>
      </c>
      <c r="H3" t="n">
        <v>930</v>
      </c>
      <c r="I3" t="inlineStr">
        <is>
          <t>白色恋人1块+鹌鹑蛋5个</t>
        </is>
      </c>
      <c r="J3" t="n">
        <v>127</v>
      </c>
      <c r="K3">
        <f>F3+H3+J3</f>
        <v/>
      </c>
      <c r="O3">
        <f>K3-IF(N3,N3,0)</f>
        <v/>
      </c>
      <c r="P3" t="n">
        <v>1500</v>
      </c>
    </row>
    <row r="4">
      <c r="A4" t="inlineStr">
        <is>
          <t>2026-03-13</t>
        </is>
      </c>
      <c r="B4" t="n">
        <v>68.3</v>
      </c>
      <c r="C4" t="n">
        <v>173</v>
      </c>
      <c r="D4">
        <f>B4/((C4/100)^2)</f>
        <v/>
      </c>
      <c r="E4" t="inlineStr">
        <is>
          <t>赛百味6英寸牛肉三明治</t>
        </is>
      </c>
      <c r="F4" t="n">
        <v>290</v>
      </c>
      <c r="G4" t="inlineStr">
        <is>
          <t>油泼面、鸡蛋醪糟</t>
        </is>
      </c>
      <c r="H4" t="n">
        <v>800</v>
      </c>
      <c r="J4" t="n">
        <v>0</v>
      </c>
      <c r="K4">
        <f>F4+H4+J4</f>
        <v/>
      </c>
      <c r="O4">
        <f>K4-IF(N4,N4,0)</f>
        <v/>
      </c>
      <c r="P4" t="n">
        <v>1500</v>
      </c>
      <c r="S4" t="inlineStr">
        <is>
          <t>早上空腹</t>
        </is>
      </c>
    </row>
    <row r="5">
      <c r="A5" t="inlineStr">
        <is>
          <t>2026-03-14</t>
        </is>
      </c>
      <c r="B5" t="n">
        <v>68.5</v>
      </c>
      <c r="C5" t="n">
        <v>173</v>
      </c>
      <c r="D5">
        <f>B5/((C5/100)^2)</f>
        <v/>
      </c>
      <c r="I5" t="inlineStr">
        <is>
          <t>白色恋人饼干1片</t>
        </is>
      </c>
      <c r="J5" t="n">
        <v>57</v>
      </c>
      <c r="K5">
        <f>F5+H5+J5</f>
        <v/>
      </c>
      <c r="O5">
        <f>K5-IF(N5,N5,0)</f>
        <v/>
      </c>
      <c r="P5" t="n">
        <v>1500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2026-03-12T06:38:08Z</dcterms:created>
  <dcterms:modified xsi:type="dcterms:W3CDTF">2026-03-14T04:24:11Z</dcterms:modified>
</cp:coreProperties>
</file>